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iury.patres\Desktop\Automação\input\"/>
    </mc:Choice>
  </mc:AlternateContent>
  <xr:revisionPtr revIDLastSave="0" documentId="13_ncr:1_{44C44BD1-813A-4D1D-B460-5D79991306F9}" xr6:coauthVersionLast="47" xr6:coauthVersionMax="47" xr10:uidLastSave="{00000000-0000-0000-0000-000000000000}"/>
  <bookViews>
    <workbookView xWindow="1500" yWindow="1500" windowWidth="17772" windowHeight="10728" xr2:uid="{00000000-000D-0000-FFFF-FFFF00000000}"/>
  </bookViews>
  <sheets>
    <sheet name="planilhaTeste" sheetId="4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BW10" i="4" l="1"/>
  <c r="BV10" i="4"/>
  <c r="BT10" i="4" a="1"/>
  <c r="BT10" i="4" s="1"/>
  <c r="BW9" i="4"/>
  <c r="BV9" i="4"/>
  <c r="BT9" i="4" a="1"/>
  <c r="BT9" i="4" s="1"/>
  <c r="BW8" i="4"/>
  <c r="BV8" i="4"/>
  <c r="BT8" i="4" a="1"/>
  <c r="BT8" i="4" s="1"/>
  <c r="BW7" i="4"/>
  <c r="BV7" i="4"/>
  <c r="BT7" i="4" a="1"/>
  <c r="BT7" i="4" s="1"/>
  <c r="BW6" i="4"/>
  <c r="BV6" i="4"/>
  <c r="BT6" i="4" a="1"/>
  <c r="BT6" i="4" s="1"/>
  <c r="BW5" i="4"/>
  <c r="BV5" i="4"/>
  <c r="BT5" i="4" a="1"/>
  <c r="BT5" i="4" s="1"/>
  <c r="BW4" i="4"/>
  <c r="BV4" i="4"/>
  <c r="BT4" i="4" a="1"/>
  <c r="BT4" i="4" s="1"/>
  <c r="BW3" i="4"/>
  <c r="BV3" i="4"/>
  <c r="BT3" i="4" a="1"/>
  <c r="BT3" i="4" s="1"/>
  <c r="BW2" i="4"/>
  <c r="BV2" i="4"/>
  <c r="BT2" i="4" a="1"/>
  <c r="BT2" i="4" s="1"/>
  <c r="BW1" i="4"/>
  <c r="BV1" i="4"/>
  <c r="BT1" i="4" a="1"/>
  <c r="BT1" i="4" s="1"/>
</calcChain>
</file>

<file path=xl/sharedStrings.xml><?xml version="1.0" encoding="utf-8"?>
<sst xmlns="http://schemas.openxmlformats.org/spreadsheetml/2006/main" count="324" uniqueCount="76">
  <si>
    <t>Quitado</t>
  </si>
  <si>
    <t>MT</t>
  </si>
  <si>
    <t>CT</t>
  </si>
  <si>
    <t>Adiantamento</t>
  </si>
  <si>
    <t>INTERNET SICOOB</t>
  </si>
  <si>
    <t>CAVALO TRUCADO</t>
  </si>
  <si>
    <t>TERCEIRO</t>
  </si>
  <si>
    <t>TRUCKPAD</t>
  </si>
  <si>
    <t>Saldo</t>
  </si>
  <si>
    <t>SEMENTE DE SOJA</t>
  </si>
  <si>
    <t>VOLVO</t>
  </si>
  <si>
    <t>SCANIA</t>
  </si>
  <si>
    <t>Pessoa Física</t>
  </si>
  <si>
    <t>Pessoa Jurídica - Não Optante p/ Simples</t>
  </si>
  <si>
    <t>Não Recebido</t>
  </si>
  <si>
    <t>GO</t>
  </si>
  <si>
    <t>UNIGGEL</t>
  </si>
  <si>
    <t>ROGERIO CRUZEIRO DA SILVA</t>
  </si>
  <si>
    <t>JATAI / GO</t>
  </si>
  <si>
    <t>ELANILTON RODRIGUES LEITE</t>
  </si>
  <si>
    <t>UNIGGEL SEMENTES, INDUSTRIA E COMERCIO LTDA</t>
  </si>
  <si>
    <t>339AD</t>
  </si>
  <si>
    <t>02/10/25</t>
  </si>
  <si>
    <t>BWF7C37</t>
  </si>
  <si>
    <t>IVECO</t>
  </si>
  <si>
    <t>STRALHD 740S42TZN1</t>
  </si>
  <si>
    <t>546.391.311/00</t>
  </si>
  <si>
    <t xml:space="preserve">256025999888 </t>
  </si>
  <si>
    <t xml:space="preserve">2560259998889406 </t>
  </si>
  <si>
    <t>ANDRE DA SILVA ALMEIDA</t>
  </si>
  <si>
    <t>6715 / UNIGGEL SEMENTES, INDUSTRIA E COMERCIO LTDA</t>
  </si>
  <si>
    <t>7078 / ANTONIO JOSE GAZARINI</t>
  </si>
  <si>
    <t>03/10/25</t>
  </si>
  <si>
    <t>ENIO FERREIRA SILVA</t>
  </si>
  <si>
    <t>CHAPADAO DO CEU / GO</t>
  </si>
  <si>
    <t>13658-01/10/2025_152722/2</t>
  </si>
  <si>
    <t>CHEQUE CAIXA</t>
  </si>
  <si>
    <t>01/10/25</t>
  </si>
  <si>
    <t>KEY4814</t>
  </si>
  <si>
    <t>R124 GA4X2NZ 400</t>
  </si>
  <si>
    <t>607.248.111/68</t>
  </si>
  <si>
    <t xml:space="preserve">259026004745 </t>
  </si>
  <si>
    <t xml:space="preserve">2590260047459363 </t>
  </si>
  <si>
    <t>5426, 5425</t>
  </si>
  <si>
    <t>02/10/2025, 16/10/2025</t>
  </si>
  <si>
    <t>6947 / PLANTA FORTE FERTILIZANTES LTDA</t>
  </si>
  <si>
    <t>13658-01/10/2025_152721/1</t>
  </si>
  <si>
    <t>13658-10/10/2025_184252/1</t>
  </si>
  <si>
    <t>10/10/25</t>
  </si>
  <si>
    <t>EDIO DE SOUSA FREITAS</t>
  </si>
  <si>
    <t>BOM JESUS / GO</t>
  </si>
  <si>
    <t>50471-01/10/2025_155632/1</t>
  </si>
  <si>
    <t>MJW3D90</t>
  </si>
  <si>
    <t>FH 460 6X2T</t>
  </si>
  <si>
    <t>133.735.871/15</t>
  </si>
  <si>
    <t>SINOP</t>
  </si>
  <si>
    <t xml:space="preserve">257026005185 </t>
  </si>
  <si>
    <t xml:space="preserve">2570260051859939 </t>
  </si>
  <si>
    <t>6826 / SOLO VERDE AGRIBUSINESS LTDA</t>
  </si>
  <si>
    <t>50471-04/10/2025_223223/1</t>
  </si>
  <si>
    <t>04/10/25</t>
  </si>
  <si>
    <t>S. TAIS DA COSTA LTDA</t>
  </si>
  <si>
    <t>CAMBORIU / SC</t>
  </si>
  <si>
    <t>49699-01/10/2025_162826/2</t>
  </si>
  <si>
    <t>ONA1D04</t>
  </si>
  <si>
    <t>FH 500 6X4T</t>
  </si>
  <si>
    <t>41.143.723/0001-27</t>
  </si>
  <si>
    <t>WANDERSON ELIAS PEREIRA</t>
  </si>
  <si>
    <t xml:space="preserve">258026005632 </t>
  </si>
  <si>
    <t xml:space="preserve">2580260056329901 </t>
  </si>
  <si>
    <t>5429, 5430</t>
  </si>
  <si>
    <t>02/10/2025, 02/10/2025</t>
  </si>
  <si>
    <t>49699-01/10/2025_162824/1</t>
  </si>
  <si>
    <t>03/10/2025 12:53</t>
  </si>
  <si>
    <t>POSTO R7 LTDA</t>
  </si>
  <si>
    <t>MINEIROS /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</si>
</sst>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164" fontId="0" fillId="0" borderId="0" xfId="0" applyNumberFormat="1" applyFill="1" applyProtection="1"/>
    <xf numFmtId="2" fontId="0" fillId="0" borderId="0" xfId="0" applyNumberFormat="1" applyFill="1" applyProtection="1"/>
    <xf numFmtId="4" fontId="0" fillId="0" borderId="0" xfId="0" applyNumberFormat="1" applyFill="1" applyProtection="1"/>
    <xf numFmtId="0" fontId="0" fillId="2" borderId="0" xfId="0" applyFill="1" applyProtection="1"/>
    <xf numFmtId="164" fontId="0" fillId="2" borderId="0" xfId="0" applyNumberForma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ACSProjeto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ACSProjetos"/>
    </sheetNames>
    <definedNames>
      <definedName name="SubContr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0AA6-DAD1-4118-A762-C29E5C3E0D6C}">
  <dimension ref="A1:CG10"/>
  <sheetViews>
    <sheetView tabSelected="1" workbookViewId="0">
      <selection activeCell="C15" sqref="C15"/>
    </sheetView>
  </sheetViews>
  <sheetFormatPr defaultRowHeight="14.4" x14ac:dyDescent="0.3"/>
  <sheetData>
    <row r="1" spans="1:85" x14ac:dyDescent="0.3">
      <c r="A1" t="s">
        <v>0</v>
      </c>
      <c r="B1" t="s">
        <v>15</v>
      </c>
      <c r="C1" t="s">
        <v>1</v>
      </c>
      <c r="D1">
        <v>2</v>
      </c>
      <c r="E1">
        <v>69861</v>
      </c>
      <c r="F1">
        <v>38</v>
      </c>
      <c r="G1" t="s">
        <v>16</v>
      </c>
      <c r="H1" s="5">
        <v>45931.614652778</v>
      </c>
      <c r="I1" t="s">
        <v>2</v>
      </c>
      <c r="J1">
        <v>339</v>
      </c>
      <c r="K1">
        <v>339</v>
      </c>
      <c r="L1">
        <v>26384</v>
      </c>
      <c r="M1">
        <v>26723</v>
      </c>
      <c r="N1">
        <v>30498</v>
      </c>
      <c r="O1">
        <v>1</v>
      </c>
      <c r="P1">
        <v>4320.04</v>
      </c>
      <c r="Q1" s="2">
        <v>4159.6899999999996</v>
      </c>
      <c r="R1">
        <v>0</v>
      </c>
      <c r="S1">
        <v>0</v>
      </c>
      <c r="T1">
        <v>0</v>
      </c>
      <c r="U1" t="s">
        <v>3</v>
      </c>
      <c r="V1" s="3">
        <v>3024</v>
      </c>
      <c r="W1">
        <v>0</v>
      </c>
      <c r="X1">
        <v>0</v>
      </c>
      <c r="Y1">
        <v>0</v>
      </c>
      <c r="Z1" s="3">
        <v>3024</v>
      </c>
      <c r="AA1">
        <v>137795</v>
      </c>
      <c r="AD1" s="1">
        <v>45932.614652778</v>
      </c>
      <c r="AF1">
        <v>82182</v>
      </c>
      <c r="AG1" t="s">
        <v>17</v>
      </c>
      <c r="AH1" t="s">
        <v>18</v>
      </c>
      <c r="AI1">
        <v>82181</v>
      </c>
      <c r="AJ1" t="s">
        <v>19</v>
      </c>
      <c r="AK1">
        <v>6715</v>
      </c>
      <c r="AL1" t="s">
        <v>20</v>
      </c>
      <c r="AM1" t="s">
        <v>21</v>
      </c>
      <c r="AN1" t="s">
        <v>4</v>
      </c>
      <c r="AO1" t="s">
        <v>22</v>
      </c>
      <c r="AP1" s="1">
        <v>45931.614652778</v>
      </c>
      <c r="AQ1" t="s">
        <v>22</v>
      </c>
      <c r="AR1" s="4">
        <v>123476</v>
      </c>
      <c r="AS1" t="s">
        <v>9</v>
      </c>
      <c r="AT1">
        <v>1</v>
      </c>
      <c r="AV1" t="s">
        <v>23</v>
      </c>
      <c r="AW1" t="s">
        <v>5</v>
      </c>
      <c r="AX1" t="s">
        <v>24</v>
      </c>
      <c r="AY1" t="s">
        <v>25</v>
      </c>
      <c r="AZ1">
        <v>7</v>
      </c>
      <c r="BA1" t="s">
        <v>6</v>
      </c>
      <c r="BB1">
        <v>82181</v>
      </c>
      <c r="BC1" s="4" t="s">
        <v>26</v>
      </c>
      <c r="BD1" t="s">
        <v>19</v>
      </c>
      <c r="BE1">
        <v>82182</v>
      </c>
      <c r="BF1" t="s">
        <v>17</v>
      </c>
      <c r="BG1">
        <v>82182</v>
      </c>
      <c r="BH1" t="s">
        <v>17</v>
      </c>
      <c r="BI1">
        <v>82182</v>
      </c>
      <c r="BJ1" t="s">
        <v>17</v>
      </c>
      <c r="BK1">
        <v>2230</v>
      </c>
      <c r="BL1" t="s">
        <v>7</v>
      </c>
      <c r="BM1" t="s">
        <v>27</v>
      </c>
      <c r="BN1" t="s">
        <v>28</v>
      </c>
      <c r="BO1">
        <v>2688</v>
      </c>
      <c r="BP1" t="s">
        <v>29</v>
      </c>
      <c r="BS1" s="4" t="s">
        <v>12</v>
      </c>
      <c r="BT1" t="e">
        <f t="array" aca="1" ref="BT1" ca="1">[1]!SubContr(BS1)</f>
        <v>#NAME?</v>
      </c>
      <c r="BV1" t="str">
        <f t="shared" ref="BV1:BV10" si="0">IF(X1=0,""," DESC. S/ SUBCONTRATAÇÃO DE FRETE "&amp;BD1&amp;" "&amp;"N. CF "&amp;L1)</f>
        <v/>
      </c>
      <c r="BW1" s="4" t="str">
        <f t="shared" ref="BW1:BW10" si="1">"SUBCONTRATAÇÃO DE FRETE "&amp;BD1&amp;" "&amp;"N. CF "&amp;AR1</f>
        <v>SUBCONTRATAÇÃO DE FRETE ELANILTON RODRIGUES LEITE N. CF 123476</v>
      </c>
      <c r="CE1" t="s">
        <v>30</v>
      </c>
      <c r="CF1" t="s">
        <v>31</v>
      </c>
      <c r="CG1">
        <v>4159.6899999999996</v>
      </c>
    </row>
    <row r="2" spans="1:85" x14ac:dyDescent="0.3">
      <c r="A2" t="s">
        <v>0</v>
      </c>
      <c r="B2" t="s">
        <v>15</v>
      </c>
      <c r="C2" t="s">
        <v>1</v>
      </c>
      <c r="D2">
        <v>2</v>
      </c>
      <c r="E2">
        <v>69861</v>
      </c>
      <c r="F2">
        <v>38</v>
      </c>
      <c r="G2" t="s">
        <v>16</v>
      </c>
      <c r="H2" s="5">
        <v>45931.614652778</v>
      </c>
      <c r="I2" t="s">
        <v>2</v>
      </c>
      <c r="J2">
        <v>339</v>
      </c>
      <c r="K2">
        <v>339</v>
      </c>
      <c r="L2">
        <v>26384</v>
      </c>
      <c r="M2">
        <v>26723</v>
      </c>
      <c r="N2">
        <v>30498</v>
      </c>
      <c r="O2">
        <v>1</v>
      </c>
      <c r="P2">
        <v>4320.04</v>
      </c>
      <c r="Q2" s="2">
        <v>4159.6899999999996</v>
      </c>
      <c r="R2">
        <v>0</v>
      </c>
      <c r="S2">
        <v>0</v>
      </c>
      <c r="T2">
        <v>0</v>
      </c>
      <c r="U2" t="s">
        <v>8</v>
      </c>
      <c r="V2" s="3">
        <v>1179.4000000000001</v>
      </c>
      <c r="W2">
        <v>0</v>
      </c>
      <c r="X2">
        <v>0</v>
      </c>
      <c r="Y2">
        <v>0</v>
      </c>
      <c r="Z2" s="3">
        <v>1179.4000000000001</v>
      </c>
      <c r="AA2">
        <v>137795</v>
      </c>
      <c r="AD2" s="1">
        <v>45933.614652778</v>
      </c>
      <c r="AF2">
        <v>82182</v>
      </c>
      <c r="AG2" t="s">
        <v>17</v>
      </c>
      <c r="AH2" t="s">
        <v>18</v>
      </c>
      <c r="AI2">
        <v>82181</v>
      </c>
      <c r="AJ2" t="s">
        <v>19</v>
      </c>
      <c r="AK2">
        <v>6715</v>
      </c>
      <c r="AL2" t="s">
        <v>20</v>
      </c>
      <c r="AM2">
        <v>339</v>
      </c>
      <c r="AN2" t="s">
        <v>4</v>
      </c>
      <c r="AO2" t="s">
        <v>32</v>
      </c>
      <c r="AP2" s="1">
        <v>45932.614652778</v>
      </c>
      <c r="AQ2" t="s">
        <v>32</v>
      </c>
      <c r="AR2" s="4">
        <v>123476</v>
      </c>
      <c r="AS2" t="s">
        <v>9</v>
      </c>
      <c r="AT2">
        <v>1</v>
      </c>
      <c r="AV2" t="s">
        <v>23</v>
      </c>
      <c r="AW2" t="s">
        <v>5</v>
      </c>
      <c r="AX2" t="s">
        <v>24</v>
      </c>
      <c r="AY2" t="s">
        <v>25</v>
      </c>
      <c r="AZ2">
        <v>7</v>
      </c>
      <c r="BA2" t="s">
        <v>6</v>
      </c>
      <c r="BB2">
        <v>82181</v>
      </c>
      <c r="BC2" s="4" t="s">
        <v>26</v>
      </c>
      <c r="BD2" t="s">
        <v>19</v>
      </c>
      <c r="BE2">
        <v>82182</v>
      </c>
      <c r="BF2" t="s">
        <v>17</v>
      </c>
      <c r="BG2">
        <v>82182</v>
      </c>
      <c r="BH2" t="s">
        <v>17</v>
      </c>
      <c r="BI2">
        <v>82182</v>
      </c>
      <c r="BJ2" t="s">
        <v>17</v>
      </c>
      <c r="BK2">
        <v>2230</v>
      </c>
      <c r="BL2" t="s">
        <v>7</v>
      </c>
      <c r="BM2" t="s">
        <v>27</v>
      </c>
      <c r="BN2" t="s">
        <v>28</v>
      </c>
      <c r="BO2">
        <v>2688</v>
      </c>
      <c r="BP2" t="s">
        <v>29</v>
      </c>
      <c r="BS2" s="4" t="s">
        <v>12</v>
      </c>
      <c r="BT2" t="e">
        <f t="array" aca="1" ref="BT2" ca="1">[1]!SubContr(BS2)</f>
        <v>#NAME?</v>
      </c>
      <c r="BV2" t="str">
        <f t="shared" si="0"/>
        <v/>
      </c>
      <c r="BW2" s="4" t="str">
        <f t="shared" si="1"/>
        <v>SUBCONTRATAÇÃO DE FRETE ELANILTON RODRIGUES LEITE N. CF 123476</v>
      </c>
      <c r="CE2" t="s">
        <v>30</v>
      </c>
      <c r="CF2" t="s">
        <v>31</v>
      </c>
      <c r="CG2">
        <v>4159.6899999999996</v>
      </c>
    </row>
    <row r="3" spans="1:85" x14ac:dyDescent="0.3">
      <c r="A3" t="s">
        <v>0</v>
      </c>
      <c r="B3" t="s">
        <v>15</v>
      </c>
      <c r="C3" t="s">
        <v>1</v>
      </c>
      <c r="D3">
        <v>2</v>
      </c>
      <c r="E3">
        <v>69861</v>
      </c>
      <c r="F3">
        <v>38</v>
      </c>
      <c r="G3" t="s">
        <v>16</v>
      </c>
      <c r="H3" s="5">
        <v>45931.614652778</v>
      </c>
      <c r="I3" t="s">
        <v>2</v>
      </c>
      <c r="J3">
        <v>340</v>
      </c>
      <c r="K3">
        <v>340</v>
      </c>
      <c r="L3">
        <v>26400</v>
      </c>
      <c r="M3">
        <v>31284</v>
      </c>
      <c r="N3">
        <v>31284</v>
      </c>
      <c r="O3">
        <v>1</v>
      </c>
      <c r="P3">
        <v>8140.1</v>
      </c>
      <c r="Q3" s="2">
        <v>8945.16</v>
      </c>
      <c r="R3">
        <v>0</v>
      </c>
      <c r="S3">
        <v>0</v>
      </c>
      <c r="T3">
        <v>0</v>
      </c>
      <c r="U3" t="s">
        <v>3</v>
      </c>
      <c r="V3" s="3">
        <v>2698</v>
      </c>
      <c r="W3">
        <v>0</v>
      </c>
      <c r="X3">
        <v>0</v>
      </c>
      <c r="Y3">
        <v>0</v>
      </c>
      <c r="Z3" s="3">
        <v>2698</v>
      </c>
      <c r="AA3">
        <v>137795</v>
      </c>
      <c r="AD3" s="1">
        <v>45931.614652778</v>
      </c>
      <c r="AF3">
        <v>13658</v>
      </c>
      <c r="AG3" t="s">
        <v>33</v>
      </c>
      <c r="AH3" t="s">
        <v>34</v>
      </c>
      <c r="AI3">
        <v>13658</v>
      </c>
      <c r="AJ3" t="s">
        <v>33</v>
      </c>
      <c r="AK3">
        <v>6715</v>
      </c>
      <c r="AL3" t="s">
        <v>20</v>
      </c>
      <c r="AM3" t="s">
        <v>35</v>
      </c>
      <c r="AN3" t="s">
        <v>36</v>
      </c>
      <c r="AO3" t="s">
        <v>37</v>
      </c>
      <c r="AP3" s="1">
        <v>45931.614652778</v>
      </c>
      <c r="AQ3" t="s">
        <v>37</v>
      </c>
      <c r="AR3" s="4">
        <v>123554</v>
      </c>
      <c r="AS3" t="s">
        <v>9</v>
      </c>
      <c r="AT3">
        <v>1</v>
      </c>
      <c r="AV3" t="s">
        <v>38</v>
      </c>
      <c r="AW3" t="s">
        <v>5</v>
      </c>
      <c r="AX3" t="s">
        <v>11</v>
      </c>
      <c r="AY3" t="s">
        <v>39</v>
      </c>
      <c r="AZ3">
        <v>7</v>
      </c>
      <c r="BA3" t="s">
        <v>6</v>
      </c>
      <c r="BB3">
        <v>13658</v>
      </c>
      <c r="BC3" s="4" t="s">
        <v>40</v>
      </c>
      <c r="BD3" t="s">
        <v>33</v>
      </c>
      <c r="BE3">
        <v>13658</v>
      </c>
      <c r="BF3" t="s">
        <v>33</v>
      </c>
      <c r="BG3">
        <v>13658</v>
      </c>
      <c r="BH3" t="s">
        <v>33</v>
      </c>
      <c r="BI3">
        <v>38</v>
      </c>
      <c r="BJ3" t="s">
        <v>16</v>
      </c>
      <c r="BK3">
        <v>2230</v>
      </c>
      <c r="BL3" t="s">
        <v>7</v>
      </c>
      <c r="BM3" t="s">
        <v>41</v>
      </c>
      <c r="BN3" t="s">
        <v>42</v>
      </c>
      <c r="BO3">
        <v>2688</v>
      </c>
      <c r="BP3" t="s">
        <v>29</v>
      </c>
      <c r="BS3" s="4" t="s">
        <v>12</v>
      </c>
      <c r="BT3" t="e">
        <f t="array" aca="1" ref="BT3" ca="1">[1]!SubContr(BS3)</f>
        <v>#NAME?</v>
      </c>
      <c r="BV3" t="str">
        <f t="shared" si="0"/>
        <v/>
      </c>
      <c r="BW3" s="4" t="str">
        <f t="shared" si="1"/>
        <v>SUBCONTRATAÇÃO DE FRETE ENIO FERREIRA SILVA N. CF 123554</v>
      </c>
      <c r="BZ3" t="s">
        <v>43</v>
      </c>
      <c r="CA3" t="s">
        <v>44</v>
      </c>
      <c r="CE3" t="s">
        <v>30</v>
      </c>
      <c r="CF3" t="s">
        <v>45</v>
      </c>
      <c r="CG3">
        <v>8945.16</v>
      </c>
    </row>
    <row r="4" spans="1:85" x14ac:dyDescent="0.3">
      <c r="A4" t="s">
        <v>0</v>
      </c>
      <c r="B4" t="s">
        <v>15</v>
      </c>
      <c r="C4" t="s">
        <v>1</v>
      </c>
      <c r="D4">
        <v>2</v>
      </c>
      <c r="E4">
        <v>69861</v>
      </c>
      <c r="F4">
        <v>38</v>
      </c>
      <c r="G4" t="s">
        <v>16</v>
      </c>
      <c r="H4" s="5">
        <v>45931.614652778</v>
      </c>
      <c r="I4" t="s">
        <v>2</v>
      </c>
      <c r="J4">
        <v>340</v>
      </c>
      <c r="K4">
        <v>340</v>
      </c>
      <c r="L4">
        <v>26400</v>
      </c>
      <c r="M4">
        <v>31284</v>
      </c>
      <c r="N4">
        <v>31284</v>
      </c>
      <c r="O4">
        <v>1</v>
      </c>
      <c r="P4">
        <v>8140.1</v>
      </c>
      <c r="Q4" s="2">
        <v>8945.16</v>
      </c>
      <c r="R4">
        <v>0</v>
      </c>
      <c r="S4">
        <v>0</v>
      </c>
      <c r="T4">
        <v>0</v>
      </c>
      <c r="U4" t="s">
        <v>3</v>
      </c>
      <c r="V4" s="3">
        <v>3000</v>
      </c>
      <c r="W4">
        <v>0</v>
      </c>
      <c r="X4">
        <v>0</v>
      </c>
      <c r="Y4">
        <v>0</v>
      </c>
      <c r="Z4" s="3">
        <v>3000</v>
      </c>
      <c r="AA4">
        <v>137795</v>
      </c>
      <c r="AD4" s="1">
        <v>45931.614652778</v>
      </c>
      <c r="AF4">
        <v>13658</v>
      </c>
      <c r="AG4" t="s">
        <v>33</v>
      </c>
      <c r="AH4" t="s">
        <v>34</v>
      </c>
      <c r="AI4">
        <v>13658</v>
      </c>
      <c r="AJ4" t="s">
        <v>33</v>
      </c>
      <c r="AK4">
        <v>6715</v>
      </c>
      <c r="AL4" t="s">
        <v>20</v>
      </c>
      <c r="AM4" t="s">
        <v>46</v>
      </c>
      <c r="AN4" t="s">
        <v>36</v>
      </c>
      <c r="AO4" t="s">
        <v>37</v>
      </c>
      <c r="AP4" s="1">
        <v>45931.614652778</v>
      </c>
      <c r="AQ4" t="s">
        <v>37</v>
      </c>
      <c r="AR4" s="4">
        <v>123554</v>
      </c>
      <c r="AS4" t="s">
        <v>9</v>
      </c>
      <c r="AT4">
        <v>1</v>
      </c>
      <c r="AV4" t="s">
        <v>38</v>
      </c>
      <c r="AW4" t="s">
        <v>5</v>
      </c>
      <c r="AX4" t="s">
        <v>11</v>
      </c>
      <c r="AY4" t="s">
        <v>39</v>
      </c>
      <c r="AZ4">
        <v>7</v>
      </c>
      <c r="BA4" t="s">
        <v>6</v>
      </c>
      <c r="BB4">
        <v>13658</v>
      </c>
      <c r="BC4" s="4" t="s">
        <v>40</v>
      </c>
      <c r="BD4" t="s">
        <v>33</v>
      </c>
      <c r="BE4">
        <v>13658</v>
      </c>
      <c r="BF4" t="s">
        <v>33</v>
      </c>
      <c r="BG4">
        <v>13658</v>
      </c>
      <c r="BH4" t="s">
        <v>33</v>
      </c>
      <c r="BI4">
        <v>38</v>
      </c>
      <c r="BJ4" t="s">
        <v>16</v>
      </c>
      <c r="BK4">
        <v>2230</v>
      </c>
      <c r="BL4" t="s">
        <v>7</v>
      </c>
      <c r="BM4" t="s">
        <v>41</v>
      </c>
      <c r="BN4" t="s">
        <v>42</v>
      </c>
      <c r="BO4">
        <v>2688</v>
      </c>
      <c r="BP4" t="s">
        <v>29</v>
      </c>
      <c r="BS4" s="4" t="s">
        <v>12</v>
      </c>
      <c r="BT4" t="e">
        <f t="array" aca="1" ref="BT4" ca="1">[1]!SubContr(BS4)</f>
        <v>#NAME?</v>
      </c>
      <c r="BV4" t="str">
        <f t="shared" si="0"/>
        <v/>
      </c>
      <c r="BW4" s="4" t="str">
        <f t="shared" si="1"/>
        <v>SUBCONTRATAÇÃO DE FRETE ENIO FERREIRA SILVA N. CF 123554</v>
      </c>
      <c r="BZ4" t="s">
        <v>43</v>
      </c>
      <c r="CA4" t="s">
        <v>44</v>
      </c>
      <c r="CE4" t="s">
        <v>30</v>
      </c>
      <c r="CF4" t="s">
        <v>45</v>
      </c>
      <c r="CG4">
        <v>8945.16</v>
      </c>
    </row>
    <row r="5" spans="1:85" x14ac:dyDescent="0.3">
      <c r="A5" t="s">
        <v>0</v>
      </c>
      <c r="B5" t="s">
        <v>15</v>
      </c>
      <c r="C5" t="s">
        <v>1</v>
      </c>
      <c r="D5">
        <v>2</v>
      </c>
      <c r="E5">
        <v>69861</v>
      </c>
      <c r="F5">
        <v>38</v>
      </c>
      <c r="G5" t="s">
        <v>16</v>
      </c>
      <c r="H5" s="5">
        <v>45931.614652778</v>
      </c>
      <c r="I5" t="s">
        <v>2</v>
      </c>
      <c r="J5">
        <v>340</v>
      </c>
      <c r="K5">
        <v>340</v>
      </c>
      <c r="L5">
        <v>26400</v>
      </c>
      <c r="M5">
        <v>31284</v>
      </c>
      <c r="N5">
        <v>31284</v>
      </c>
      <c r="O5">
        <v>1</v>
      </c>
      <c r="P5">
        <v>8140.1</v>
      </c>
      <c r="Q5" s="2">
        <v>8945.16</v>
      </c>
      <c r="R5">
        <v>0</v>
      </c>
      <c r="S5">
        <v>0</v>
      </c>
      <c r="T5">
        <v>0</v>
      </c>
      <c r="U5" t="s">
        <v>8</v>
      </c>
      <c r="V5" s="3">
        <v>2222.3200000000002</v>
      </c>
      <c r="W5">
        <v>0</v>
      </c>
      <c r="X5">
        <v>0</v>
      </c>
      <c r="Y5">
        <v>0</v>
      </c>
      <c r="Z5" s="3">
        <v>2222.3200000000002</v>
      </c>
      <c r="AA5">
        <v>137795</v>
      </c>
      <c r="AD5" s="1">
        <v>45940.614652778</v>
      </c>
      <c r="AF5">
        <v>13658</v>
      </c>
      <c r="AG5" t="s">
        <v>33</v>
      </c>
      <c r="AH5" t="s">
        <v>34</v>
      </c>
      <c r="AI5">
        <v>13658</v>
      </c>
      <c r="AJ5" t="s">
        <v>33</v>
      </c>
      <c r="AK5">
        <v>6715</v>
      </c>
      <c r="AL5" t="s">
        <v>20</v>
      </c>
      <c r="AM5" t="s">
        <v>47</v>
      </c>
      <c r="AN5" t="s">
        <v>36</v>
      </c>
      <c r="AO5" t="s">
        <v>48</v>
      </c>
      <c r="AP5" s="1">
        <v>45932.614652778</v>
      </c>
      <c r="AQ5" t="s">
        <v>48</v>
      </c>
      <c r="AR5" s="4">
        <v>123554</v>
      </c>
      <c r="AS5" t="s">
        <v>9</v>
      </c>
      <c r="AT5">
        <v>1</v>
      </c>
      <c r="AV5" t="s">
        <v>38</v>
      </c>
      <c r="AW5" t="s">
        <v>5</v>
      </c>
      <c r="AX5" t="s">
        <v>11</v>
      </c>
      <c r="AY5" t="s">
        <v>39</v>
      </c>
      <c r="AZ5">
        <v>7</v>
      </c>
      <c r="BA5" t="s">
        <v>6</v>
      </c>
      <c r="BB5">
        <v>13658</v>
      </c>
      <c r="BC5" s="4" t="s">
        <v>40</v>
      </c>
      <c r="BD5" t="s">
        <v>33</v>
      </c>
      <c r="BE5">
        <v>13658</v>
      </c>
      <c r="BF5" t="s">
        <v>33</v>
      </c>
      <c r="BG5">
        <v>13658</v>
      </c>
      <c r="BH5" t="s">
        <v>33</v>
      </c>
      <c r="BI5">
        <v>38</v>
      </c>
      <c r="BJ5" t="s">
        <v>16</v>
      </c>
      <c r="BK5">
        <v>2230</v>
      </c>
      <c r="BL5" t="s">
        <v>7</v>
      </c>
      <c r="BM5" t="s">
        <v>41</v>
      </c>
      <c r="BN5" t="s">
        <v>42</v>
      </c>
      <c r="BO5">
        <v>2688</v>
      </c>
      <c r="BP5" t="s">
        <v>29</v>
      </c>
      <c r="BS5" s="4" t="s">
        <v>12</v>
      </c>
      <c r="BT5" t="e">
        <f t="array" aca="1" ref="BT5" ca="1">[1]!SubContr(BS5)</f>
        <v>#NAME?</v>
      </c>
      <c r="BV5" t="str">
        <f t="shared" si="0"/>
        <v/>
      </c>
      <c r="BW5" s="4" t="str">
        <f t="shared" si="1"/>
        <v>SUBCONTRATAÇÃO DE FRETE ENIO FERREIRA SILVA N. CF 123554</v>
      </c>
      <c r="BZ5">
        <v>7048</v>
      </c>
      <c r="CA5" s="1">
        <v>45946.614652778</v>
      </c>
      <c r="CE5" t="s">
        <v>30</v>
      </c>
      <c r="CF5" t="s">
        <v>45</v>
      </c>
      <c r="CG5">
        <v>8945.16</v>
      </c>
    </row>
    <row r="6" spans="1:85" x14ac:dyDescent="0.3">
      <c r="A6" t="s">
        <v>0</v>
      </c>
      <c r="B6" t="s">
        <v>15</v>
      </c>
      <c r="C6" t="s">
        <v>1</v>
      </c>
      <c r="D6">
        <v>2</v>
      </c>
      <c r="E6">
        <v>69861</v>
      </c>
      <c r="F6">
        <v>38</v>
      </c>
      <c r="G6" t="s">
        <v>16</v>
      </c>
      <c r="H6" s="5">
        <v>45931.614652778</v>
      </c>
      <c r="I6" t="s">
        <v>2</v>
      </c>
      <c r="J6">
        <v>341</v>
      </c>
      <c r="K6">
        <v>341</v>
      </c>
      <c r="L6">
        <v>26401</v>
      </c>
      <c r="M6">
        <v>40166</v>
      </c>
      <c r="N6">
        <v>40166</v>
      </c>
      <c r="O6">
        <v>1</v>
      </c>
      <c r="P6">
        <v>6828.22</v>
      </c>
      <c r="Q6" s="2">
        <v>7503.54</v>
      </c>
      <c r="R6">
        <v>0</v>
      </c>
      <c r="S6">
        <v>0</v>
      </c>
      <c r="T6">
        <v>0</v>
      </c>
      <c r="U6" t="s">
        <v>3</v>
      </c>
      <c r="V6" s="3">
        <v>4780</v>
      </c>
      <c r="W6">
        <v>0</v>
      </c>
      <c r="X6">
        <v>0</v>
      </c>
      <c r="Y6">
        <v>0</v>
      </c>
      <c r="Z6" s="3">
        <v>4780</v>
      </c>
      <c r="AA6">
        <v>137795</v>
      </c>
      <c r="AD6" s="1">
        <v>45931.614652778</v>
      </c>
      <c r="AF6">
        <v>50471</v>
      </c>
      <c r="AG6" t="s">
        <v>49</v>
      </c>
      <c r="AH6" t="s">
        <v>50</v>
      </c>
      <c r="AI6">
        <v>50471</v>
      </c>
      <c r="AJ6" t="s">
        <v>49</v>
      </c>
      <c r="AK6">
        <v>6715</v>
      </c>
      <c r="AL6" t="s">
        <v>20</v>
      </c>
      <c r="AM6" t="s">
        <v>51</v>
      </c>
      <c r="AN6" t="s">
        <v>36</v>
      </c>
      <c r="AO6" t="s">
        <v>37</v>
      </c>
      <c r="AP6" s="1">
        <v>45931.614652778</v>
      </c>
      <c r="AQ6" t="s">
        <v>37</v>
      </c>
      <c r="AR6" s="4">
        <v>123562</v>
      </c>
      <c r="AS6" t="s">
        <v>9</v>
      </c>
      <c r="AT6">
        <v>1</v>
      </c>
      <c r="AV6" t="s">
        <v>52</v>
      </c>
      <c r="AW6" t="s">
        <v>5</v>
      </c>
      <c r="AX6" t="s">
        <v>10</v>
      </c>
      <c r="AY6" t="s">
        <v>53</v>
      </c>
      <c r="AZ6">
        <v>7</v>
      </c>
      <c r="BA6" t="s">
        <v>6</v>
      </c>
      <c r="BB6">
        <v>50471</v>
      </c>
      <c r="BC6" s="4" t="s">
        <v>54</v>
      </c>
      <c r="BD6" t="s">
        <v>49</v>
      </c>
      <c r="BE6">
        <v>50471</v>
      </c>
      <c r="BF6" t="s">
        <v>49</v>
      </c>
      <c r="BG6">
        <v>50471</v>
      </c>
      <c r="BH6" t="s">
        <v>49</v>
      </c>
      <c r="BI6">
        <v>11</v>
      </c>
      <c r="BJ6" t="s">
        <v>55</v>
      </c>
      <c r="BK6">
        <v>2230</v>
      </c>
      <c r="BL6" t="s">
        <v>7</v>
      </c>
      <c r="BM6" t="s">
        <v>56</v>
      </c>
      <c r="BN6" t="s">
        <v>57</v>
      </c>
      <c r="BO6">
        <v>2688</v>
      </c>
      <c r="BP6" t="s">
        <v>29</v>
      </c>
      <c r="BS6" s="4" t="s">
        <v>12</v>
      </c>
      <c r="BT6" t="e">
        <f t="array" aca="1" ref="BT6" ca="1">[1]!SubContr(BS6)</f>
        <v>#NAME?</v>
      </c>
      <c r="BV6" t="str">
        <f t="shared" si="0"/>
        <v/>
      </c>
      <c r="BW6" s="4" t="str">
        <f t="shared" si="1"/>
        <v>SUBCONTRATAÇÃO DE FRETE EDIO DE SOUSA FREITAS N. CF 123562</v>
      </c>
      <c r="BZ6">
        <v>5427</v>
      </c>
      <c r="CA6" s="1">
        <v>45932.614652778</v>
      </c>
      <c r="CE6" t="s">
        <v>30</v>
      </c>
      <c r="CF6" t="s">
        <v>58</v>
      </c>
      <c r="CG6">
        <v>7503.54</v>
      </c>
    </row>
    <row r="7" spans="1:85" x14ac:dyDescent="0.3">
      <c r="A7" t="s">
        <v>0</v>
      </c>
      <c r="B7" t="s">
        <v>15</v>
      </c>
      <c r="C7" t="s">
        <v>1</v>
      </c>
      <c r="D7">
        <v>2</v>
      </c>
      <c r="E7">
        <v>69861</v>
      </c>
      <c r="F7">
        <v>38</v>
      </c>
      <c r="G7" t="s">
        <v>16</v>
      </c>
      <c r="H7" s="5">
        <v>45931.614652778</v>
      </c>
      <c r="I7" t="s">
        <v>2</v>
      </c>
      <c r="J7">
        <v>341</v>
      </c>
      <c r="K7">
        <v>341</v>
      </c>
      <c r="L7">
        <v>26401</v>
      </c>
      <c r="M7">
        <v>40166</v>
      </c>
      <c r="N7">
        <v>40166</v>
      </c>
      <c r="O7">
        <v>1</v>
      </c>
      <c r="P7">
        <v>6828.22</v>
      </c>
      <c r="Q7" s="2">
        <v>7503.54</v>
      </c>
      <c r="R7">
        <v>0</v>
      </c>
      <c r="S7">
        <v>0</v>
      </c>
      <c r="T7">
        <v>0</v>
      </c>
      <c r="U7" t="s">
        <v>8</v>
      </c>
      <c r="V7" s="3">
        <v>1863.86</v>
      </c>
      <c r="W7">
        <v>0</v>
      </c>
      <c r="X7">
        <v>0</v>
      </c>
      <c r="Y7">
        <v>0</v>
      </c>
      <c r="Z7" s="3">
        <v>1863.86</v>
      </c>
      <c r="AA7">
        <v>137795</v>
      </c>
      <c r="AD7" s="1">
        <v>45934.614652778</v>
      </c>
      <c r="AF7">
        <v>50471</v>
      </c>
      <c r="AG7" t="s">
        <v>49</v>
      </c>
      <c r="AH7" t="s">
        <v>50</v>
      </c>
      <c r="AI7">
        <v>50471</v>
      </c>
      <c r="AJ7" t="s">
        <v>49</v>
      </c>
      <c r="AK7">
        <v>6715</v>
      </c>
      <c r="AL7" t="s">
        <v>20</v>
      </c>
      <c r="AM7" t="s">
        <v>59</v>
      </c>
      <c r="AN7" t="s">
        <v>36</v>
      </c>
      <c r="AO7" t="s">
        <v>60</v>
      </c>
      <c r="AP7" s="1">
        <v>45932.614652778</v>
      </c>
      <c r="AQ7" t="s">
        <v>60</v>
      </c>
      <c r="AR7" s="4">
        <v>123562</v>
      </c>
      <c r="AS7" t="s">
        <v>9</v>
      </c>
      <c r="AT7">
        <v>1</v>
      </c>
      <c r="AV7" t="s">
        <v>52</v>
      </c>
      <c r="AW7" t="s">
        <v>5</v>
      </c>
      <c r="AX7" t="s">
        <v>10</v>
      </c>
      <c r="AY7" t="s">
        <v>53</v>
      </c>
      <c r="AZ7">
        <v>7</v>
      </c>
      <c r="BA7" t="s">
        <v>6</v>
      </c>
      <c r="BB7">
        <v>50471</v>
      </c>
      <c r="BC7" s="4" t="s">
        <v>54</v>
      </c>
      <c r="BD7" t="s">
        <v>49</v>
      </c>
      <c r="BE7">
        <v>50471</v>
      </c>
      <c r="BF7" t="s">
        <v>49</v>
      </c>
      <c r="BG7">
        <v>50471</v>
      </c>
      <c r="BH7" t="s">
        <v>49</v>
      </c>
      <c r="BI7">
        <v>11</v>
      </c>
      <c r="BJ7" t="s">
        <v>55</v>
      </c>
      <c r="BK7">
        <v>2230</v>
      </c>
      <c r="BL7" t="s">
        <v>7</v>
      </c>
      <c r="BM7" t="s">
        <v>56</v>
      </c>
      <c r="BN7" t="s">
        <v>57</v>
      </c>
      <c r="BO7">
        <v>2688</v>
      </c>
      <c r="BP7" t="s">
        <v>29</v>
      </c>
      <c r="BS7" s="4" t="s">
        <v>12</v>
      </c>
      <c r="BT7" t="e">
        <f t="array" aca="1" ref="BT7" ca="1">[1]!SubContr(BS7)</f>
        <v>#NAME?</v>
      </c>
      <c r="BV7" t="str">
        <f t="shared" si="0"/>
        <v/>
      </c>
      <c r="BW7" s="4" t="str">
        <f t="shared" si="1"/>
        <v>SUBCONTRATAÇÃO DE FRETE EDIO DE SOUSA FREITAS N. CF 123562</v>
      </c>
      <c r="BZ7">
        <v>5486</v>
      </c>
      <c r="CA7" s="1">
        <v>45954.614652778</v>
      </c>
      <c r="CE7" t="s">
        <v>30</v>
      </c>
      <c r="CF7" t="s">
        <v>58</v>
      </c>
      <c r="CG7">
        <v>7503.54</v>
      </c>
    </row>
    <row r="8" spans="1:85" x14ac:dyDescent="0.3">
      <c r="A8" t="s">
        <v>0</v>
      </c>
      <c r="B8" t="s">
        <v>15</v>
      </c>
      <c r="C8" t="s">
        <v>1</v>
      </c>
      <c r="D8">
        <v>2</v>
      </c>
      <c r="E8">
        <v>69861</v>
      </c>
      <c r="F8">
        <v>38</v>
      </c>
      <c r="G8" t="s">
        <v>16</v>
      </c>
      <c r="H8" s="5">
        <v>45931.614652778</v>
      </c>
      <c r="I8" t="s">
        <v>2</v>
      </c>
      <c r="J8">
        <v>342</v>
      </c>
      <c r="K8">
        <v>342</v>
      </c>
      <c r="L8">
        <v>26402</v>
      </c>
      <c r="M8">
        <v>44016</v>
      </c>
      <c r="N8">
        <v>44016</v>
      </c>
      <c r="O8">
        <v>1</v>
      </c>
      <c r="P8">
        <v>8499.93</v>
      </c>
      <c r="Q8" s="2">
        <v>9340.58</v>
      </c>
      <c r="R8">
        <v>0</v>
      </c>
      <c r="S8">
        <v>0</v>
      </c>
      <c r="T8">
        <v>0</v>
      </c>
      <c r="U8" t="s">
        <v>3</v>
      </c>
      <c r="V8" s="3">
        <v>2950</v>
      </c>
      <c r="W8">
        <v>0</v>
      </c>
      <c r="X8">
        <v>0</v>
      </c>
      <c r="Y8">
        <v>0</v>
      </c>
      <c r="Z8" s="3">
        <v>2950</v>
      </c>
      <c r="AA8">
        <v>137795</v>
      </c>
      <c r="AD8" s="1">
        <v>45931.614652778</v>
      </c>
      <c r="AF8">
        <v>49699</v>
      </c>
      <c r="AG8" t="s">
        <v>61</v>
      </c>
      <c r="AH8" t="s">
        <v>62</v>
      </c>
      <c r="AI8">
        <v>49699</v>
      </c>
      <c r="AJ8" t="s">
        <v>61</v>
      </c>
      <c r="AK8">
        <v>6715</v>
      </c>
      <c r="AL8" t="s">
        <v>20</v>
      </c>
      <c r="AM8" t="s">
        <v>63</v>
      </c>
      <c r="AN8" t="s">
        <v>36</v>
      </c>
      <c r="AO8" t="s">
        <v>37</v>
      </c>
      <c r="AP8" s="1">
        <v>45931.614652778</v>
      </c>
      <c r="AQ8" t="s">
        <v>37</v>
      </c>
      <c r="AR8" s="4">
        <v>123571</v>
      </c>
      <c r="AS8" t="s">
        <v>9</v>
      </c>
      <c r="AT8">
        <v>1</v>
      </c>
      <c r="AV8" t="s">
        <v>64</v>
      </c>
      <c r="AW8" t="s">
        <v>5</v>
      </c>
      <c r="AX8" t="s">
        <v>10</v>
      </c>
      <c r="AY8" t="s">
        <v>65</v>
      </c>
      <c r="AZ8">
        <v>7</v>
      </c>
      <c r="BA8" t="s">
        <v>6</v>
      </c>
      <c r="BB8">
        <v>49699</v>
      </c>
      <c r="BC8" s="4" t="s">
        <v>66</v>
      </c>
      <c r="BD8" t="s">
        <v>61</v>
      </c>
      <c r="BE8">
        <v>35134</v>
      </c>
      <c r="BF8" t="s">
        <v>67</v>
      </c>
      <c r="BG8">
        <v>49699</v>
      </c>
      <c r="BH8" t="s">
        <v>61</v>
      </c>
      <c r="BI8">
        <v>38</v>
      </c>
      <c r="BJ8" t="s">
        <v>16</v>
      </c>
      <c r="BK8">
        <v>2230</v>
      </c>
      <c r="BL8" t="s">
        <v>7</v>
      </c>
      <c r="BM8" t="s">
        <v>68</v>
      </c>
      <c r="BN8" t="s">
        <v>69</v>
      </c>
      <c r="BO8">
        <v>2688</v>
      </c>
      <c r="BP8" t="s">
        <v>29</v>
      </c>
      <c r="BS8" s="4" t="s">
        <v>13</v>
      </c>
      <c r="BT8" t="e">
        <f t="array" aca="1" ref="BT8" ca="1">[1]!SubContr(BS8)</f>
        <v>#NAME?</v>
      </c>
      <c r="BV8" t="str">
        <f t="shared" si="0"/>
        <v/>
      </c>
      <c r="BW8" s="4" t="str">
        <f t="shared" si="1"/>
        <v>SUBCONTRATAÇÃO DE FRETE S. TAIS DA COSTA LTDA N. CF 123571</v>
      </c>
      <c r="BZ8" t="s">
        <v>70</v>
      </c>
      <c r="CA8" t="s">
        <v>71</v>
      </c>
      <c r="CE8" t="s">
        <v>30</v>
      </c>
      <c r="CF8" t="s">
        <v>58</v>
      </c>
      <c r="CG8">
        <v>9340.58</v>
      </c>
    </row>
    <row r="9" spans="1:85" x14ac:dyDescent="0.3">
      <c r="A9" t="s">
        <v>0</v>
      </c>
      <c r="B9" t="s">
        <v>15</v>
      </c>
      <c r="C9" t="s">
        <v>1</v>
      </c>
      <c r="D9">
        <v>2</v>
      </c>
      <c r="E9">
        <v>69861</v>
      </c>
      <c r="F9">
        <v>38</v>
      </c>
      <c r="G9" t="s">
        <v>16</v>
      </c>
      <c r="H9" s="5">
        <v>45931.614652778</v>
      </c>
      <c r="I9" t="s">
        <v>2</v>
      </c>
      <c r="J9">
        <v>342</v>
      </c>
      <c r="K9">
        <v>342</v>
      </c>
      <c r="L9">
        <v>26402</v>
      </c>
      <c r="M9">
        <v>44016</v>
      </c>
      <c r="N9">
        <v>44016</v>
      </c>
      <c r="O9">
        <v>1</v>
      </c>
      <c r="P9">
        <v>8499.93</v>
      </c>
      <c r="Q9" s="2">
        <v>9340.58</v>
      </c>
      <c r="R9">
        <v>0</v>
      </c>
      <c r="S9">
        <v>0</v>
      </c>
      <c r="T9">
        <v>0</v>
      </c>
      <c r="U9" t="s">
        <v>3</v>
      </c>
      <c r="V9" s="3">
        <v>3000</v>
      </c>
      <c r="W9">
        <v>0</v>
      </c>
      <c r="X9">
        <v>0</v>
      </c>
      <c r="Y9">
        <v>0</v>
      </c>
      <c r="Z9" s="3">
        <v>3000</v>
      </c>
      <c r="AA9">
        <v>137795</v>
      </c>
      <c r="AD9" s="1">
        <v>45931.614652778</v>
      </c>
      <c r="AF9">
        <v>49699</v>
      </c>
      <c r="AG9" t="s">
        <v>61</v>
      </c>
      <c r="AH9" t="s">
        <v>62</v>
      </c>
      <c r="AI9">
        <v>49699</v>
      </c>
      <c r="AJ9" t="s">
        <v>61</v>
      </c>
      <c r="AK9">
        <v>6715</v>
      </c>
      <c r="AL9" t="s">
        <v>20</v>
      </c>
      <c r="AM9" t="s">
        <v>72</v>
      </c>
      <c r="AN9" t="s">
        <v>36</v>
      </c>
      <c r="AO9" t="s">
        <v>37</v>
      </c>
      <c r="AP9" s="1">
        <v>45931.614652778</v>
      </c>
      <c r="AQ9" t="s">
        <v>37</v>
      </c>
      <c r="AR9" s="4">
        <v>123571</v>
      </c>
      <c r="AS9" t="s">
        <v>9</v>
      </c>
      <c r="AT9">
        <v>1</v>
      </c>
      <c r="AV9" t="s">
        <v>64</v>
      </c>
      <c r="AW9" t="s">
        <v>5</v>
      </c>
      <c r="AX9" t="s">
        <v>10</v>
      </c>
      <c r="AY9" t="s">
        <v>65</v>
      </c>
      <c r="AZ9">
        <v>7</v>
      </c>
      <c r="BA9" t="s">
        <v>6</v>
      </c>
      <c r="BB9">
        <v>49699</v>
      </c>
      <c r="BC9" s="4" t="s">
        <v>66</v>
      </c>
      <c r="BD9" t="s">
        <v>61</v>
      </c>
      <c r="BE9">
        <v>35134</v>
      </c>
      <c r="BF9" t="s">
        <v>67</v>
      </c>
      <c r="BG9">
        <v>49699</v>
      </c>
      <c r="BH9" t="s">
        <v>61</v>
      </c>
      <c r="BI9">
        <v>38</v>
      </c>
      <c r="BJ9" t="s">
        <v>16</v>
      </c>
      <c r="BK9">
        <v>2230</v>
      </c>
      <c r="BL9" t="s">
        <v>7</v>
      </c>
      <c r="BM9" t="s">
        <v>68</v>
      </c>
      <c r="BN9" t="s">
        <v>69</v>
      </c>
      <c r="BO9">
        <v>2688</v>
      </c>
      <c r="BP9" t="s">
        <v>29</v>
      </c>
      <c r="BS9" s="4" t="s">
        <v>13</v>
      </c>
      <c r="BT9" t="e">
        <f t="array" aca="1" ref="BT9" ca="1">[1]!SubContr(BS9)</f>
        <v>#NAME?</v>
      </c>
      <c r="BV9" t="str">
        <f t="shared" si="0"/>
        <v/>
      </c>
      <c r="BW9" s="4" t="str">
        <f t="shared" si="1"/>
        <v>SUBCONTRATAÇÃO DE FRETE S. TAIS DA COSTA LTDA N. CF 123571</v>
      </c>
      <c r="BZ9" t="s">
        <v>70</v>
      </c>
      <c r="CA9" t="s">
        <v>71</v>
      </c>
      <c r="CE9" t="s">
        <v>30</v>
      </c>
      <c r="CF9" t="s">
        <v>58</v>
      </c>
      <c r="CG9">
        <v>9340.58</v>
      </c>
    </row>
    <row r="10" spans="1:85" x14ac:dyDescent="0.3">
      <c r="A10" t="s">
        <v>14</v>
      </c>
      <c r="B10" t="s">
        <v>15</v>
      </c>
      <c r="C10" t="s">
        <v>1</v>
      </c>
      <c r="D10">
        <v>2</v>
      </c>
      <c r="E10">
        <v>69861</v>
      </c>
      <c r="F10">
        <v>38</v>
      </c>
      <c r="G10" t="s">
        <v>16</v>
      </c>
      <c r="H10" s="5">
        <v>45931.614652778</v>
      </c>
      <c r="I10" t="s">
        <v>2</v>
      </c>
      <c r="J10">
        <v>342</v>
      </c>
      <c r="K10">
        <v>342</v>
      </c>
      <c r="L10">
        <v>26402</v>
      </c>
      <c r="M10">
        <v>44016</v>
      </c>
      <c r="N10">
        <v>44016</v>
      </c>
      <c r="O10">
        <v>1</v>
      </c>
      <c r="P10">
        <v>8499.93</v>
      </c>
      <c r="Q10" s="2">
        <v>9340.58</v>
      </c>
      <c r="R10">
        <v>0</v>
      </c>
      <c r="S10">
        <v>0</v>
      </c>
      <c r="T10">
        <v>0</v>
      </c>
      <c r="U10" t="s">
        <v>8</v>
      </c>
      <c r="V10" s="3">
        <v>2549.9299999999998</v>
      </c>
      <c r="W10">
        <v>0</v>
      </c>
      <c r="X10">
        <v>0</v>
      </c>
      <c r="Y10">
        <v>0</v>
      </c>
      <c r="Z10" s="3">
        <v>2549.9299999999998</v>
      </c>
      <c r="AA10">
        <v>137795</v>
      </c>
      <c r="AC10" t="s">
        <v>73</v>
      </c>
      <c r="AF10">
        <v>9260</v>
      </c>
      <c r="AG10" t="s">
        <v>74</v>
      </c>
      <c r="AH10" t="s">
        <v>75</v>
      </c>
      <c r="AI10">
        <v>49699</v>
      </c>
      <c r="AJ10" t="s">
        <v>61</v>
      </c>
      <c r="AK10">
        <v>6715</v>
      </c>
      <c r="AL10" t="s">
        <v>20</v>
      </c>
      <c r="AP10" s="1">
        <v>45932.614652778</v>
      </c>
      <c r="AR10" s="4">
        <v>123571</v>
      </c>
      <c r="AS10" t="s">
        <v>9</v>
      </c>
      <c r="AT10">
        <v>1</v>
      </c>
      <c r="AV10" t="s">
        <v>64</v>
      </c>
      <c r="AW10" t="s">
        <v>5</v>
      </c>
      <c r="AX10" t="s">
        <v>10</v>
      </c>
      <c r="AY10" t="s">
        <v>65</v>
      </c>
      <c r="AZ10">
        <v>7</v>
      </c>
      <c r="BA10" t="s">
        <v>6</v>
      </c>
      <c r="BB10">
        <v>49699</v>
      </c>
      <c r="BC10" s="4" t="s">
        <v>66</v>
      </c>
      <c r="BD10" t="s">
        <v>61</v>
      </c>
      <c r="BE10">
        <v>35134</v>
      </c>
      <c r="BF10" t="s">
        <v>67</v>
      </c>
      <c r="BG10">
        <v>9260</v>
      </c>
      <c r="BH10" t="s">
        <v>74</v>
      </c>
      <c r="BI10">
        <v>9260</v>
      </c>
      <c r="BJ10" t="s">
        <v>74</v>
      </c>
      <c r="BK10">
        <v>2230</v>
      </c>
      <c r="BL10" t="s">
        <v>7</v>
      </c>
      <c r="BM10" t="s">
        <v>68</v>
      </c>
      <c r="BN10" t="s">
        <v>69</v>
      </c>
      <c r="BO10">
        <v>2688</v>
      </c>
      <c r="BP10" t="s">
        <v>29</v>
      </c>
      <c r="BS10" s="4" t="s">
        <v>13</v>
      </c>
      <c r="BT10" t="e">
        <f t="array" aca="1" ref="BT10" ca="1">[1]!SubContr(BS10)</f>
        <v>#NAME?</v>
      </c>
      <c r="BV10" t="str">
        <f t="shared" si="0"/>
        <v/>
      </c>
      <c r="BW10" s="4" t="str">
        <f t="shared" si="1"/>
        <v>SUBCONTRATAÇÃO DE FRETE S. TAIS DA COSTA LTDA N. CF 123571</v>
      </c>
      <c r="CE10" t="s">
        <v>30</v>
      </c>
      <c r="CF10" t="s">
        <v>58</v>
      </c>
      <c r="CG10">
        <v>9340.58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Iury Rodrigues Prates</cp:lastModifiedBy>
  <dcterms:created xsi:type="dcterms:W3CDTF">2025-11-06T14:45:06Z</dcterms:created>
  <dcterms:modified xsi:type="dcterms:W3CDTF">2025-12-05T21:21:58Z</dcterms:modified>
</cp:coreProperties>
</file>