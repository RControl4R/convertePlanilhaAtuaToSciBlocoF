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ury.patres\Desktop\Automação\testesFormatacaoDePlanilhas\scripts\input\"/>
    </mc:Choice>
  </mc:AlternateContent>
  <xr:revisionPtr revIDLastSave="0" documentId="13_ncr:1_{1A650971-6991-4309-9E67-DEEEA6E1BEDD}" xr6:coauthVersionLast="47" xr6:coauthVersionMax="47" xr10:uidLastSave="{00000000-0000-0000-0000-000000000000}"/>
  <bookViews>
    <workbookView xWindow="30195" yWindow="1395" windowWidth="22215" windowHeight="13410" xr2:uid="{5253F47A-AD2C-4AB9-9230-DE49DA93D244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5" i="1" l="1"/>
  <c r="BV5" i="1"/>
  <c r="BT5" i="1" a="1"/>
  <c r="BT5" i="1" s="1"/>
  <c r="BW4" i="1"/>
  <c r="BV4" i="1"/>
  <c r="BT4" i="1" a="1"/>
  <c r="BT4" i="1" s="1"/>
  <c r="BW3" i="1"/>
  <c r="BV3" i="1"/>
  <c r="BT3" i="1" a="1"/>
  <c r="BT3" i="1" s="1"/>
  <c r="BW2" i="1"/>
  <c r="BV2" i="1"/>
  <c r="BT2" i="1" a="1"/>
  <c r="BT2" i="1" s="1"/>
  <c r="BW1" i="1"/>
  <c r="BV1" i="1"/>
  <c r="BT1" i="1" a="1"/>
  <c r="BT1" i="1" s="1"/>
</calcChain>
</file>

<file path=xl/sharedStrings.xml><?xml version="1.0" encoding="utf-8"?>
<sst xmlns="http://schemas.openxmlformats.org/spreadsheetml/2006/main" count="160" uniqueCount="68">
  <si>
    <t>Quitado</t>
  </si>
  <si>
    <t>SP</t>
  </si>
  <si>
    <t>MT</t>
  </si>
  <si>
    <t>SEMENTE</t>
  </si>
  <si>
    <t>CT</t>
  </si>
  <si>
    <t>Adiantamento</t>
  </si>
  <si>
    <t>29/10/2025 15:03</t>
  </si>
  <si>
    <t>DECIO COMERCIO E SERVICOS RODOVIARIOS LTDA</t>
  </si>
  <si>
    <t>C B TRANSPORTES RODOVIARIOS DE CARGA LTDA</t>
  </si>
  <si>
    <t>QUALICROP CIENCIA E TECNOLOGIA DE CULTIVOS LTDA</t>
  </si>
  <si>
    <t>INTERNET SICOOB</t>
  </si>
  <si>
    <t>03/11/25</t>
  </si>
  <si>
    <t>FERTILIZANTES - OUTROS</t>
  </si>
  <si>
    <t>QCU2D87</t>
  </si>
  <si>
    <t>CAVALO TRUCADO</t>
  </si>
  <si>
    <t>MAN</t>
  </si>
  <si>
    <t>TGX 29.480 6X4 T</t>
  </si>
  <si>
    <t>TERCEIRO</t>
  </si>
  <si>
    <t>59.164.068/0001-59</t>
  </si>
  <si>
    <t>ROBERTO ALVES DE OLIVEIRA</t>
  </si>
  <si>
    <t>TRUCKPAD</t>
  </si>
  <si>
    <t xml:space="preserve">259026563153 </t>
  </si>
  <si>
    <t xml:space="preserve">2590265631539390 </t>
  </si>
  <si>
    <t>NAYANYPHER LOIOLA GOMES</t>
  </si>
  <si>
    <t>Pessoa Jurídica - Optante p/ Simples</t>
  </si>
  <si>
    <t>86403 / DNAGRO DO BRASIL LTDA</t>
  </si>
  <si>
    <t>86404 / BIO CERRADO AGRO SOLUTIONS LTDA</t>
  </si>
  <si>
    <t>Saldo</t>
  </si>
  <si>
    <t>03/11/2025 13:24</t>
  </si>
  <si>
    <t>ASFRETE SERVICOS DE APOIO ADMINISTRATIVO E OP</t>
  </si>
  <si>
    <t>SORRISO / MT</t>
  </si>
  <si>
    <t>INTERNET BTG PAC</t>
  </si>
  <si>
    <t>04/11/25</t>
  </si>
  <si>
    <t>POSTO ALDO SORRISO LTDA</t>
  </si>
  <si>
    <t>PI</t>
  </si>
  <si>
    <t>DEMARCO TRANSPORTES LTDA</t>
  </si>
  <si>
    <t>LUIS EDUARDO MAGALHAES / BA</t>
  </si>
  <si>
    <t>PROGRESSO AGROINDUSTRIAL LTDA</t>
  </si>
  <si>
    <t>113AD</t>
  </si>
  <si>
    <t>INTERNET BRADESC</t>
  </si>
  <si>
    <t>13/10/25</t>
  </si>
  <si>
    <t>SEMENTE DE SOJA</t>
  </si>
  <si>
    <t>QMN4A38</t>
  </si>
  <si>
    <t>VOLVO</t>
  </si>
  <si>
    <t>FH 540 6X4T</t>
  </si>
  <si>
    <t>12.828.892/0001-00</t>
  </si>
  <si>
    <t>WAILSON DOS SANTOS SOUZA</t>
  </si>
  <si>
    <t xml:space="preserve">254026201324 </t>
  </si>
  <si>
    <t xml:space="preserve">2540262013249239 </t>
  </si>
  <si>
    <t>83249 / PROGRESSO AGROINDUSTRIAL LTDA</t>
  </si>
  <si>
    <t>13975 / GALLO COMERCIAL AGRICOLA LTDA</t>
  </si>
  <si>
    <t>16/10/25</t>
  </si>
  <si>
    <t>MARCELIO STIVAL E SILVA</t>
  </si>
  <si>
    <t>GURUPI / TO</t>
  </si>
  <si>
    <t>85175-16/10/2025_191610/1</t>
  </si>
  <si>
    <t>CHEQUE BRADESCO</t>
  </si>
  <si>
    <t>RSA6J20</t>
  </si>
  <si>
    <t>SCANIA</t>
  </si>
  <si>
    <t>R540 A6X4</t>
  </si>
  <si>
    <t>586.788.671/91</t>
  </si>
  <si>
    <t>URUCUI</t>
  </si>
  <si>
    <t>DEPOSITO EM CONTA</t>
  </si>
  <si>
    <t xml:space="preserve">292760768f1520f369c5 </t>
  </si>
  <si>
    <t xml:space="preserve">4640030920200932 </t>
  </si>
  <si>
    <t>Pessoa Física</t>
  </si>
  <si>
    <t>8161, 8160</t>
  </si>
  <si>
    <t>17/10/2025, 20/10/2025</t>
  </si>
  <si>
    <t>7669 / COAPA COOPERATIVA AGROINDUSTRIAL DO 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</si>
</sst>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2" fontId="0" fillId="0" borderId="0" xfId="0" applyNumberFormat="1"/>
    <xf numFmtId="4" fontId="0" fillId="0" borderId="0" xfId="0" applyNumberFormat="1"/>
    <xf numFmtId="164" fontId="0" fillId="0" borderId="0" xfId="0" applyNumberFormat="1"/>
    <xf numFmtId="0" fontId="0" fillId="2" borderId="0" xfId="0" applyFill="1"/>
    <xf numFmtId="4" fontId="0" fillId="2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ACSProjeto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ACSProjetos"/>
    </sheetNames>
    <definedNames>
      <definedName name="SubContr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58101-11B0-4D6F-9C7C-B4A4E469F4A8}">
  <dimension ref="A1:CG13"/>
  <sheetViews>
    <sheetView tabSelected="1" workbookViewId="0">
      <selection sqref="A1:CG5"/>
    </sheetView>
  </sheetViews>
  <sheetFormatPr defaultRowHeight="14.4" x14ac:dyDescent="0.3"/>
  <cols>
    <col min="8" max="8" width="13.6640625" customWidth="1"/>
    <col min="55" max="55" width="13.6640625" customWidth="1"/>
    <col min="72" max="72" width="8.21875" bestFit="1" customWidth="1"/>
  </cols>
  <sheetData>
    <row r="1" spans="1:85" x14ac:dyDescent="0.3">
      <c r="A1" t="s">
        <v>0</v>
      </c>
      <c r="B1" t="s">
        <v>1</v>
      </c>
      <c r="C1" t="s">
        <v>2</v>
      </c>
      <c r="D1">
        <v>2</v>
      </c>
      <c r="E1">
        <v>15785</v>
      </c>
      <c r="F1">
        <v>46</v>
      </c>
      <c r="G1" t="s">
        <v>3</v>
      </c>
      <c r="H1" s="1">
        <v>45959.614652778</v>
      </c>
      <c r="I1" t="s">
        <v>4</v>
      </c>
      <c r="J1">
        <v>65</v>
      </c>
      <c r="K1">
        <v>65</v>
      </c>
      <c r="L1">
        <v>5849</v>
      </c>
      <c r="M1">
        <v>11200</v>
      </c>
      <c r="N1">
        <v>31655</v>
      </c>
      <c r="O1">
        <v>1</v>
      </c>
      <c r="P1">
        <v>13935.3</v>
      </c>
      <c r="Q1" s="2">
        <v>4700</v>
      </c>
      <c r="R1">
        <v>0</v>
      </c>
      <c r="S1">
        <v>0</v>
      </c>
      <c r="T1" s="5">
        <v>0</v>
      </c>
      <c r="U1" t="s">
        <v>5</v>
      </c>
      <c r="V1" s="6">
        <v>9754.7099999999991</v>
      </c>
      <c r="W1">
        <v>0</v>
      </c>
      <c r="X1" s="5">
        <v>0</v>
      </c>
      <c r="Y1" s="5">
        <v>0</v>
      </c>
      <c r="Z1" s="3">
        <v>9754.7099999999991</v>
      </c>
      <c r="AC1" t="s">
        <v>6</v>
      </c>
      <c r="AD1" s="4">
        <v>45960.614652778</v>
      </c>
      <c r="AE1" s="4">
        <v>46004.614652778</v>
      </c>
      <c r="AF1">
        <v>3385</v>
      </c>
      <c r="AG1" t="s">
        <v>7</v>
      </c>
      <c r="AI1">
        <v>70043</v>
      </c>
      <c r="AJ1" t="s">
        <v>8</v>
      </c>
      <c r="AK1">
        <v>86289</v>
      </c>
      <c r="AL1" t="s">
        <v>9</v>
      </c>
      <c r="AM1">
        <v>359153</v>
      </c>
      <c r="AN1" t="s">
        <v>10</v>
      </c>
      <c r="AO1" t="s">
        <v>11</v>
      </c>
      <c r="AP1" s="4">
        <v>45959.614652778</v>
      </c>
      <c r="AQ1" t="s">
        <v>11</v>
      </c>
      <c r="AR1" s="5">
        <v>128110</v>
      </c>
      <c r="AS1" t="s">
        <v>12</v>
      </c>
      <c r="AT1">
        <v>1</v>
      </c>
      <c r="AV1" t="s">
        <v>13</v>
      </c>
      <c r="AW1" t="s">
        <v>14</v>
      </c>
      <c r="AX1" t="s">
        <v>15</v>
      </c>
      <c r="AY1" t="s">
        <v>16</v>
      </c>
      <c r="AZ1">
        <v>7</v>
      </c>
      <c r="BA1" t="s">
        <v>17</v>
      </c>
      <c r="BB1">
        <v>70043</v>
      </c>
      <c r="BC1" s="5" t="s">
        <v>18</v>
      </c>
      <c r="BD1" t="s">
        <v>8</v>
      </c>
      <c r="BE1">
        <v>18129</v>
      </c>
      <c r="BF1" t="s">
        <v>19</v>
      </c>
      <c r="BG1">
        <v>39164</v>
      </c>
      <c r="BH1" t="s">
        <v>7</v>
      </c>
      <c r="BI1">
        <v>39164</v>
      </c>
      <c r="BJ1" t="s">
        <v>7</v>
      </c>
      <c r="BK1">
        <v>2230</v>
      </c>
      <c r="BL1" t="s">
        <v>20</v>
      </c>
      <c r="BM1" t="s">
        <v>21</v>
      </c>
      <c r="BN1" t="s">
        <v>22</v>
      </c>
      <c r="BO1">
        <v>30529</v>
      </c>
      <c r="BP1" t="s">
        <v>23</v>
      </c>
      <c r="BS1" s="5" t="s">
        <v>24</v>
      </c>
      <c r="BT1" s="5" t="e">
        <f t="array" aca="1" ref="BT1" ca="1">[1]!SubContr(BS1)</f>
        <v>#NAME?</v>
      </c>
      <c r="BV1" s="5" t="str">
        <f>IF(X1=0,""," DESC. S/ SUBCONTRATAÇÃO DE FRETE "&amp;BD1&amp;" "&amp;"N. CF "&amp;L1)</f>
        <v/>
      </c>
      <c r="BW1" s="5" t="str">
        <f>"SUBCONTRATAÇÃO DE FRETE "&amp;BD1&amp;" "&amp;"N. CTRC "&amp;AR1</f>
        <v>SUBCONTRATAÇÃO DE FRETE C B TRANSPORTES RODOVIARIOS DE CARGA LTDA N. CTRC 128110</v>
      </c>
      <c r="CE1" t="s">
        <v>25</v>
      </c>
      <c r="CF1" t="s">
        <v>26</v>
      </c>
      <c r="CG1">
        <v>4700</v>
      </c>
    </row>
    <row r="2" spans="1:85" x14ac:dyDescent="0.3">
      <c r="A2" t="s">
        <v>0</v>
      </c>
      <c r="B2" t="s">
        <v>1</v>
      </c>
      <c r="C2" t="s">
        <v>2</v>
      </c>
      <c r="D2">
        <v>2</v>
      </c>
      <c r="E2">
        <v>15785</v>
      </c>
      <c r="F2">
        <v>46</v>
      </c>
      <c r="G2" t="s">
        <v>3</v>
      </c>
      <c r="H2" s="1">
        <v>45959.614652778</v>
      </c>
      <c r="I2" t="s">
        <v>4</v>
      </c>
      <c r="J2">
        <v>65</v>
      </c>
      <c r="K2">
        <v>65</v>
      </c>
      <c r="L2">
        <v>5849</v>
      </c>
      <c r="M2">
        <v>11200</v>
      </c>
      <c r="N2">
        <v>31655</v>
      </c>
      <c r="O2">
        <v>1</v>
      </c>
      <c r="P2">
        <v>13935.3</v>
      </c>
      <c r="Q2" s="2">
        <v>4700</v>
      </c>
      <c r="R2">
        <v>0</v>
      </c>
      <c r="S2">
        <v>0</v>
      </c>
      <c r="T2" s="5">
        <v>0</v>
      </c>
      <c r="U2" t="s">
        <v>27</v>
      </c>
      <c r="V2" s="6">
        <v>4180.59</v>
      </c>
      <c r="W2">
        <v>0</v>
      </c>
      <c r="X2" s="5">
        <v>0</v>
      </c>
      <c r="Y2" s="5">
        <v>0</v>
      </c>
      <c r="Z2" s="3">
        <v>4180.59</v>
      </c>
      <c r="AC2" t="s">
        <v>28</v>
      </c>
      <c r="AD2" s="4">
        <v>45965.614652778</v>
      </c>
      <c r="AE2" s="4">
        <v>46004.614652778</v>
      </c>
      <c r="AF2">
        <v>1264</v>
      </c>
      <c r="AG2" t="s">
        <v>29</v>
      </c>
      <c r="AH2" t="s">
        <v>30</v>
      </c>
      <c r="AI2">
        <v>70043</v>
      </c>
      <c r="AJ2" t="s">
        <v>8</v>
      </c>
      <c r="AK2">
        <v>86289</v>
      </c>
      <c r="AL2" t="s">
        <v>9</v>
      </c>
      <c r="AM2">
        <v>1178467</v>
      </c>
      <c r="AN2" t="s">
        <v>31</v>
      </c>
      <c r="AO2" t="s">
        <v>32</v>
      </c>
      <c r="AP2" s="4">
        <v>45960.614652778</v>
      </c>
      <c r="AQ2" t="s">
        <v>32</v>
      </c>
      <c r="AR2" s="5">
        <v>128110</v>
      </c>
      <c r="AS2" t="s">
        <v>12</v>
      </c>
      <c r="AT2">
        <v>1</v>
      </c>
      <c r="AV2" t="s">
        <v>13</v>
      </c>
      <c r="AW2" t="s">
        <v>14</v>
      </c>
      <c r="AX2" t="s">
        <v>15</v>
      </c>
      <c r="AY2" t="s">
        <v>16</v>
      </c>
      <c r="AZ2">
        <v>7</v>
      </c>
      <c r="BA2" t="s">
        <v>17</v>
      </c>
      <c r="BB2">
        <v>70043</v>
      </c>
      <c r="BC2" s="5" t="s">
        <v>18</v>
      </c>
      <c r="BD2" t="s">
        <v>8</v>
      </c>
      <c r="BE2">
        <v>18129</v>
      </c>
      <c r="BF2" t="s">
        <v>19</v>
      </c>
      <c r="BG2">
        <v>174</v>
      </c>
      <c r="BH2" t="s">
        <v>33</v>
      </c>
      <c r="BI2">
        <v>174</v>
      </c>
      <c r="BJ2" t="s">
        <v>33</v>
      </c>
      <c r="BK2">
        <v>2230</v>
      </c>
      <c r="BL2" t="s">
        <v>20</v>
      </c>
      <c r="BM2" t="s">
        <v>21</v>
      </c>
      <c r="BN2" t="s">
        <v>22</v>
      </c>
      <c r="BO2">
        <v>30529</v>
      </c>
      <c r="BP2" t="s">
        <v>23</v>
      </c>
      <c r="BR2">
        <v>150</v>
      </c>
      <c r="BS2" s="5" t="s">
        <v>24</v>
      </c>
      <c r="BT2" s="5" t="e">
        <f t="array" aca="1" ref="BT2" ca="1">[1]!SubContr(BS2)</f>
        <v>#NAME?</v>
      </c>
      <c r="BV2" s="5" t="str">
        <f t="shared" ref="BV2:BV5" si="0">IF(X2=0,""," DESC. S/ SUBCONTRATAÇÃO DE FRETE "&amp;BD2&amp;" "&amp;"N. CF "&amp;L2)</f>
        <v/>
      </c>
      <c r="BW2" s="5" t="str">
        <f>"SUBCONTRATAÇÃO DE FRETE "&amp;BD2&amp;" "&amp;"N. CTRC "&amp;AR2</f>
        <v>SUBCONTRATAÇÃO DE FRETE C B TRANSPORTES RODOVIARIOS DE CARGA LTDA N. CTRC 128110</v>
      </c>
      <c r="CE2" t="s">
        <v>25</v>
      </c>
      <c r="CF2" t="s">
        <v>26</v>
      </c>
      <c r="CG2">
        <v>4700</v>
      </c>
    </row>
    <row r="3" spans="1:85" x14ac:dyDescent="0.3">
      <c r="A3" t="s">
        <v>0</v>
      </c>
      <c r="B3" t="s">
        <v>34</v>
      </c>
      <c r="C3" t="s">
        <v>2</v>
      </c>
      <c r="D3">
        <v>2</v>
      </c>
      <c r="E3">
        <v>59268</v>
      </c>
      <c r="F3">
        <v>46</v>
      </c>
      <c r="G3" t="s">
        <v>3</v>
      </c>
      <c r="H3" s="1">
        <v>45942.614652778</v>
      </c>
      <c r="I3" t="s">
        <v>4</v>
      </c>
      <c r="J3">
        <v>113</v>
      </c>
      <c r="K3">
        <v>113</v>
      </c>
      <c r="L3">
        <v>27322</v>
      </c>
      <c r="M3">
        <v>35645</v>
      </c>
      <c r="N3">
        <v>46990</v>
      </c>
      <c r="O3">
        <v>1</v>
      </c>
      <c r="P3">
        <v>14283.4</v>
      </c>
      <c r="Q3" s="2">
        <v>9398</v>
      </c>
      <c r="R3">
        <v>0</v>
      </c>
      <c r="S3">
        <v>0</v>
      </c>
      <c r="T3" s="5">
        <v>0</v>
      </c>
      <c r="U3" t="s">
        <v>5</v>
      </c>
      <c r="V3" s="6">
        <v>9998.3799999999992</v>
      </c>
      <c r="W3">
        <v>0</v>
      </c>
      <c r="X3" s="5">
        <v>0</v>
      </c>
      <c r="Y3" s="5">
        <v>0</v>
      </c>
      <c r="Z3" s="3">
        <v>9998.3799999999992</v>
      </c>
      <c r="AA3">
        <v>140980</v>
      </c>
      <c r="AD3" s="4">
        <v>45943.614652778</v>
      </c>
      <c r="AE3" s="4">
        <v>45987.614652778</v>
      </c>
      <c r="AF3">
        <v>84589</v>
      </c>
      <c r="AG3" t="s">
        <v>35</v>
      </c>
      <c r="AH3" t="s">
        <v>36</v>
      </c>
      <c r="AI3">
        <v>84589</v>
      </c>
      <c r="AJ3" t="s">
        <v>35</v>
      </c>
      <c r="AK3">
        <v>83249</v>
      </c>
      <c r="AL3" t="s">
        <v>37</v>
      </c>
      <c r="AM3" t="s">
        <v>38</v>
      </c>
      <c r="AN3" t="s">
        <v>39</v>
      </c>
      <c r="AO3" t="s">
        <v>40</v>
      </c>
      <c r="AP3" s="4">
        <v>45942.614652778</v>
      </c>
      <c r="AQ3" t="s">
        <v>40</v>
      </c>
      <c r="AR3" s="5">
        <v>125846</v>
      </c>
      <c r="AS3" t="s">
        <v>41</v>
      </c>
      <c r="AT3">
        <v>1</v>
      </c>
      <c r="AV3" t="s">
        <v>42</v>
      </c>
      <c r="AW3" t="s">
        <v>14</v>
      </c>
      <c r="AX3" t="s">
        <v>43</v>
      </c>
      <c r="AY3" t="s">
        <v>44</v>
      </c>
      <c r="AZ3">
        <v>7</v>
      </c>
      <c r="BA3" t="s">
        <v>17</v>
      </c>
      <c r="BB3">
        <v>84589</v>
      </c>
      <c r="BC3" s="5" t="s">
        <v>45</v>
      </c>
      <c r="BD3" t="s">
        <v>35</v>
      </c>
      <c r="BE3">
        <v>84629</v>
      </c>
      <c r="BF3" t="s">
        <v>46</v>
      </c>
      <c r="BG3">
        <v>84589</v>
      </c>
      <c r="BH3" t="s">
        <v>35</v>
      </c>
      <c r="BI3">
        <v>84589</v>
      </c>
      <c r="BJ3" t="s">
        <v>35</v>
      </c>
      <c r="BK3">
        <v>2230</v>
      </c>
      <c r="BL3" t="s">
        <v>20</v>
      </c>
      <c r="BM3" t="s">
        <v>47</v>
      </c>
      <c r="BN3" t="s">
        <v>48</v>
      </c>
      <c r="BO3">
        <v>30529</v>
      </c>
      <c r="BP3" t="s">
        <v>23</v>
      </c>
      <c r="BS3" s="5" t="s">
        <v>24</v>
      </c>
      <c r="BT3" s="5" t="e">
        <f t="array" aca="1" ref="BT3" ca="1">[1]!SubContr(BS3)</f>
        <v>#NAME?</v>
      </c>
      <c r="BV3" s="5" t="str">
        <f t="shared" si="0"/>
        <v/>
      </c>
      <c r="BW3" s="5" t="str">
        <f t="shared" ref="BW3:BW5" si="1">"SUBCONTRATAÇÃO DE FRETE "&amp;BD3&amp;" "&amp;"N. CF "&amp;AR3</f>
        <v>SUBCONTRATAÇÃO DE FRETE DEMARCO TRANSPORTES LTDA N. CF 125846</v>
      </c>
      <c r="CE3" t="s">
        <v>49</v>
      </c>
      <c r="CF3" t="s">
        <v>50</v>
      </c>
      <c r="CG3">
        <v>9398</v>
      </c>
    </row>
    <row r="4" spans="1:85" x14ac:dyDescent="0.3">
      <c r="A4" t="s">
        <v>0</v>
      </c>
      <c r="B4" t="s">
        <v>34</v>
      </c>
      <c r="C4" t="s">
        <v>2</v>
      </c>
      <c r="D4">
        <v>2</v>
      </c>
      <c r="E4">
        <v>59268</v>
      </c>
      <c r="F4">
        <v>46</v>
      </c>
      <c r="G4" t="s">
        <v>3</v>
      </c>
      <c r="H4" s="1">
        <v>45942.614652778</v>
      </c>
      <c r="I4" t="s">
        <v>4</v>
      </c>
      <c r="J4">
        <v>113</v>
      </c>
      <c r="K4">
        <v>113</v>
      </c>
      <c r="L4">
        <v>27322</v>
      </c>
      <c r="M4">
        <v>35645</v>
      </c>
      <c r="N4">
        <v>46990</v>
      </c>
      <c r="O4">
        <v>1</v>
      </c>
      <c r="P4">
        <v>14283.4</v>
      </c>
      <c r="Q4" s="2">
        <v>9398</v>
      </c>
      <c r="R4">
        <v>0</v>
      </c>
      <c r="S4">
        <v>5.9</v>
      </c>
      <c r="T4" s="5">
        <v>250.32</v>
      </c>
      <c r="U4" t="s">
        <v>27</v>
      </c>
      <c r="V4" s="6">
        <v>4028.8</v>
      </c>
      <c r="W4">
        <v>0</v>
      </c>
      <c r="X4" s="5">
        <v>0</v>
      </c>
      <c r="Y4" s="5">
        <v>0</v>
      </c>
      <c r="Z4" s="3">
        <v>4028.8</v>
      </c>
      <c r="AA4">
        <v>140980</v>
      </c>
      <c r="AD4" s="4">
        <v>45945.614652778</v>
      </c>
      <c r="AE4" s="4">
        <v>45987.614652778</v>
      </c>
      <c r="AF4">
        <v>84589</v>
      </c>
      <c r="AG4" t="s">
        <v>35</v>
      </c>
      <c r="AH4" t="s">
        <v>36</v>
      </c>
      <c r="AI4">
        <v>84589</v>
      </c>
      <c r="AJ4" t="s">
        <v>35</v>
      </c>
      <c r="AK4">
        <v>83249</v>
      </c>
      <c r="AL4" t="s">
        <v>37</v>
      </c>
      <c r="AM4">
        <v>113</v>
      </c>
      <c r="AN4" t="s">
        <v>39</v>
      </c>
      <c r="AO4" t="s">
        <v>51</v>
      </c>
      <c r="AP4" s="4">
        <v>45943.614652778</v>
      </c>
      <c r="AQ4" t="s">
        <v>51</v>
      </c>
      <c r="AR4" s="5">
        <v>125846</v>
      </c>
      <c r="AS4" t="s">
        <v>41</v>
      </c>
      <c r="AT4">
        <v>1</v>
      </c>
      <c r="AV4" t="s">
        <v>42</v>
      </c>
      <c r="AW4" t="s">
        <v>14</v>
      </c>
      <c r="AX4" t="s">
        <v>43</v>
      </c>
      <c r="AY4" t="s">
        <v>44</v>
      </c>
      <c r="AZ4">
        <v>7</v>
      </c>
      <c r="BA4" t="s">
        <v>17</v>
      </c>
      <c r="BB4">
        <v>84589</v>
      </c>
      <c r="BC4" s="5" t="s">
        <v>45</v>
      </c>
      <c r="BD4" t="s">
        <v>35</v>
      </c>
      <c r="BE4">
        <v>84629</v>
      </c>
      <c r="BF4" t="s">
        <v>46</v>
      </c>
      <c r="BG4">
        <v>84589</v>
      </c>
      <c r="BH4" t="s">
        <v>35</v>
      </c>
      <c r="BI4">
        <v>84589</v>
      </c>
      <c r="BJ4" t="s">
        <v>35</v>
      </c>
      <c r="BK4">
        <v>2230</v>
      </c>
      <c r="BL4" t="s">
        <v>20</v>
      </c>
      <c r="BM4" t="s">
        <v>47</v>
      </c>
      <c r="BN4" t="s">
        <v>48</v>
      </c>
      <c r="BO4">
        <v>30529</v>
      </c>
      <c r="BP4" t="s">
        <v>23</v>
      </c>
      <c r="BS4" s="5" t="s">
        <v>24</v>
      </c>
      <c r="BT4" s="5" t="e">
        <f t="array" aca="1" ref="BT4" ca="1">[1]!SubContr(BS4)</f>
        <v>#NAME?</v>
      </c>
      <c r="BV4" s="5" t="str">
        <f t="shared" si="0"/>
        <v/>
      </c>
      <c r="BW4" s="5" t="str">
        <f t="shared" si="1"/>
        <v>SUBCONTRATAÇÃO DE FRETE DEMARCO TRANSPORTES LTDA N. CF 125846</v>
      </c>
      <c r="CE4" t="s">
        <v>49</v>
      </c>
      <c r="CF4" t="s">
        <v>50</v>
      </c>
      <c r="CG4">
        <v>9398</v>
      </c>
    </row>
    <row r="5" spans="1:85" x14ac:dyDescent="0.3">
      <c r="A5" t="s">
        <v>0</v>
      </c>
      <c r="B5" t="s">
        <v>34</v>
      </c>
      <c r="C5" t="s">
        <v>2</v>
      </c>
      <c r="D5">
        <v>2</v>
      </c>
      <c r="E5">
        <v>59268</v>
      </c>
      <c r="F5">
        <v>46</v>
      </c>
      <c r="G5" t="s">
        <v>3</v>
      </c>
      <c r="H5" s="1">
        <v>45946.614652778</v>
      </c>
      <c r="I5" t="s">
        <v>4</v>
      </c>
      <c r="J5">
        <v>116</v>
      </c>
      <c r="K5">
        <v>116</v>
      </c>
      <c r="L5">
        <v>27440</v>
      </c>
      <c r="M5">
        <v>36075</v>
      </c>
      <c r="N5">
        <v>42900</v>
      </c>
      <c r="O5">
        <v>1</v>
      </c>
      <c r="P5">
        <v>13680</v>
      </c>
      <c r="Q5" s="2">
        <v>5760</v>
      </c>
      <c r="R5">
        <v>0</v>
      </c>
      <c r="S5">
        <v>0</v>
      </c>
      <c r="T5" s="5">
        <v>0</v>
      </c>
      <c r="U5" t="s">
        <v>5</v>
      </c>
      <c r="V5" s="6">
        <v>4500</v>
      </c>
      <c r="W5">
        <v>0</v>
      </c>
      <c r="X5" s="5">
        <v>0</v>
      </c>
      <c r="Y5" s="5">
        <v>0</v>
      </c>
      <c r="Z5" s="3">
        <v>4500</v>
      </c>
      <c r="AA5">
        <v>140980</v>
      </c>
      <c r="AD5" s="4">
        <v>45946.614652778</v>
      </c>
      <c r="AE5" s="4">
        <v>45991.614652778</v>
      </c>
      <c r="AF5">
        <v>85175</v>
      </c>
      <c r="AG5" t="s">
        <v>52</v>
      </c>
      <c r="AH5" t="s">
        <v>53</v>
      </c>
      <c r="AI5">
        <v>85175</v>
      </c>
      <c r="AJ5" t="s">
        <v>52</v>
      </c>
      <c r="AK5">
        <v>83249</v>
      </c>
      <c r="AL5" t="s">
        <v>37</v>
      </c>
      <c r="AM5" t="s">
        <v>54</v>
      </c>
      <c r="AN5" t="s">
        <v>55</v>
      </c>
      <c r="AO5" t="s">
        <v>51</v>
      </c>
      <c r="AP5" s="4">
        <v>45946.614652778</v>
      </c>
      <c r="AQ5" t="s">
        <v>51</v>
      </c>
      <c r="AR5" s="5">
        <v>126511</v>
      </c>
      <c r="AS5" t="s">
        <v>41</v>
      </c>
      <c r="AT5">
        <v>1</v>
      </c>
      <c r="AV5" t="s">
        <v>56</v>
      </c>
      <c r="AW5" t="s">
        <v>14</v>
      </c>
      <c r="AX5" t="s">
        <v>57</v>
      </c>
      <c r="AY5" t="s">
        <v>58</v>
      </c>
      <c r="AZ5">
        <v>7</v>
      </c>
      <c r="BA5" t="s">
        <v>17</v>
      </c>
      <c r="BB5">
        <v>85175</v>
      </c>
      <c r="BC5" s="5" t="s">
        <v>59</v>
      </c>
      <c r="BD5" t="s">
        <v>52</v>
      </c>
      <c r="BE5">
        <v>85175</v>
      </c>
      <c r="BF5" t="s">
        <v>52</v>
      </c>
      <c r="BG5">
        <v>85175</v>
      </c>
      <c r="BH5" t="s">
        <v>52</v>
      </c>
      <c r="BI5">
        <v>43</v>
      </c>
      <c r="BJ5" t="s">
        <v>60</v>
      </c>
      <c r="BK5">
        <v>85127</v>
      </c>
      <c r="BL5" t="s">
        <v>61</v>
      </c>
      <c r="BM5" t="s">
        <v>62</v>
      </c>
      <c r="BN5" t="s">
        <v>63</v>
      </c>
      <c r="BO5">
        <v>30529</v>
      </c>
      <c r="BP5" t="s">
        <v>23</v>
      </c>
      <c r="BS5" s="5" t="s">
        <v>64</v>
      </c>
      <c r="BT5" s="5" t="e">
        <f t="array" aca="1" ref="BT5" ca="1">[1]!SubContr(BS5)</f>
        <v>#NAME?</v>
      </c>
      <c r="BV5" s="5" t="str">
        <f t="shared" si="0"/>
        <v/>
      </c>
      <c r="BW5" s="5" t="str">
        <f t="shared" si="1"/>
        <v>SUBCONTRATAÇÃO DE FRETE MARCELIO STIVAL E SILVA N. CF 126511</v>
      </c>
      <c r="BZ5" t="s">
        <v>65</v>
      </c>
      <c r="CA5" t="s">
        <v>66</v>
      </c>
      <c r="CE5" t="s">
        <v>49</v>
      </c>
      <c r="CF5" t="s">
        <v>67</v>
      </c>
      <c r="CG5">
        <v>5760</v>
      </c>
    </row>
    <row r="13" spans="1:85" x14ac:dyDescent="0.3">
      <c r="E13" s="7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Iury Rodrigues Prates</dc:creator>
  <cp:lastModifiedBy>Iury Rodrigues Prates</cp:lastModifiedBy>
  <dcterms:created xsi:type="dcterms:W3CDTF">2025-12-08T14:06:54Z</dcterms:created>
  <dcterms:modified xsi:type="dcterms:W3CDTF">2025-12-08T17:32:32Z</dcterms:modified>
</cp:coreProperties>
</file>